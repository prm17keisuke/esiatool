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17.データメンテ管理\01.会議資料\"/>
    </mc:Choice>
  </mc:AlternateContent>
  <bookViews>
    <workbookView xWindow="9210" yWindow="24360" windowWidth="20325" windowHeight="9060" activeTab="1"/>
  </bookViews>
  <sheets>
    <sheet name="一覧" sheetId="99" r:id="rId1"/>
    <sheet name="操作" sheetId="3" r:id="rId2"/>
  </sheets>
  <functionGroups builtInGroupCount="18"/>
  <definedNames>
    <definedName name="_xlnm._FilterDatabase" localSheetId="0" hidden="1">一覧!$A$3:$K$3</definedName>
    <definedName name="_xlnm.Print_Titles" localSheetId="0">一覧!$1:$3</definedName>
    <definedName name="SORT_TARGE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99" l="1"/>
  <c r="A12" i="99"/>
  <c r="A22" i="99"/>
  <c r="A21" i="99"/>
  <c r="A20" i="99"/>
  <c r="A19" i="99"/>
  <c r="A18" i="99"/>
  <c r="A17" i="99"/>
  <c r="A16" i="99"/>
  <c r="A15" i="99"/>
  <c r="A4" i="99"/>
  <c r="A11" i="99"/>
  <c r="A10" i="99"/>
  <c r="A9" i="99"/>
  <c r="A5" i="99"/>
  <c r="A8" i="99"/>
  <c r="A7" i="99"/>
  <c r="A14" i="99"/>
  <c r="A6" i="99"/>
</calcChain>
</file>

<file path=xl/sharedStrings.xml><?xml version="1.0" encoding="utf-8"?>
<sst xmlns="http://schemas.openxmlformats.org/spreadsheetml/2006/main" count="176" uniqueCount="93">
  <si>
    <t>キー</t>
  </si>
  <si>
    <t>種別</t>
  </si>
  <si>
    <t>カテゴリー名</t>
  </si>
  <si>
    <t>バージョン</t>
  </si>
  <si>
    <t>件名</t>
  </si>
  <si>
    <t>状態</t>
  </si>
  <si>
    <t>担当者</t>
  </si>
  <si>
    <t>期限日</t>
  </si>
  <si>
    <t>他塾</t>
  </si>
  <si>
    <t>M5和泉</t>
  </si>
  <si>
    <t>未対応</t>
  </si>
  <si>
    <t>全企業</t>
  </si>
  <si>
    <t>処理中</t>
  </si>
  <si>
    <t>備考</t>
  </si>
  <si>
    <t>No</t>
  </si>
  <si>
    <t>一覧作成手順</t>
    <rPh sb="0" eb="2">
      <t>イチラン</t>
    </rPh>
    <rPh sb="2" eb="4">
      <t>サクセイ</t>
    </rPh>
    <rPh sb="4" eb="6">
      <t>テジュン</t>
    </rPh>
    <phoneticPr fontId="1"/>
  </si>
  <si>
    <t>条件</t>
    <rPh sb="0" eb="2">
      <t>ジョウケン</t>
    </rPh>
    <phoneticPr fontId="1"/>
  </si>
  <si>
    <t>状態</t>
    <rPh sb="0" eb="2">
      <t>ジョウタイ</t>
    </rPh>
    <phoneticPr fontId="1"/>
  </si>
  <si>
    <t>項目</t>
    <rPh sb="0" eb="2">
      <t>コウモク</t>
    </rPh>
    <phoneticPr fontId="1"/>
  </si>
  <si>
    <t>選択値</t>
    <rPh sb="0" eb="3">
      <t>センタクチ</t>
    </rPh>
    <phoneticPr fontId="1"/>
  </si>
  <si>
    <t>タブ</t>
    <phoneticPr fontId="1"/>
  </si>
  <si>
    <t>基本</t>
    <rPh sb="0" eb="2">
      <t>キホン</t>
    </rPh>
    <phoneticPr fontId="1"/>
  </si>
  <si>
    <t>１－１．以下の条件で課題を検索する</t>
    <rPh sb="4" eb="6">
      <t>イカ</t>
    </rPh>
    <rPh sb="7" eb="9">
      <t>ジョウケン</t>
    </rPh>
    <rPh sb="10" eb="12">
      <t>カダイ</t>
    </rPh>
    <rPh sb="13" eb="15">
      <t>ケンサク</t>
    </rPh>
    <phoneticPr fontId="1"/>
  </si>
  <si>
    <t>２－２．「Excel」を押下、ファイルをダウンロードする</t>
    <rPh sb="12" eb="14">
      <t>オウカ</t>
    </rPh>
    <phoneticPr fontId="1"/>
  </si>
  <si>
    <t>データメンテナンス (ANESTA_DATAMAINTE)ミーティング資料</t>
  </si>
  <si>
    <t>３．「一覧作成」ボタンを押下</t>
    <rPh sb="3" eb="7">
      <t>イチランサクセイ</t>
    </rPh>
    <rPh sb="12" eb="14">
      <t>オウカ</t>
    </rPh>
    <phoneticPr fontId="1"/>
  </si>
  <si>
    <t>※取込むファイル名を求められたら、２で出力した「Backlog-Issues-yyyymmdd-hhmm.xlsx」を指定する</t>
    <rPh sb="1" eb="3">
      <t>トリコ</t>
    </rPh>
    <rPh sb="8" eb="9">
      <t>メイ</t>
    </rPh>
    <rPh sb="10" eb="11">
      <t>モト</t>
    </rPh>
    <rPh sb="19" eb="21">
      <t>シュツリョク</t>
    </rPh>
    <rPh sb="59" eb="61">
      <t>シテイ</t>
    </rPh>
    <phoneticPr fontId="1"/>
  </si>
  <si>
    <t>課題</t>
  </si>
  <si>
    <t>アネム直営</t>
  </si>
  <si>
    <t>KS001：アネムホールディングス</t>
  </si>
  <si>
    <t>HTI金谷</t>
  </si>
  <si>
    <t>九州FC</t>
  </si>
  <si>
    <t>MEIKOV：明光FC</t>
  </si>
  <si>
    <t>ANESTA_DATAMAINTE-24</t>
  </si>
  <si>
    <t>【ポイント交換サイト】特定の企業のみ活かす設定の手順整備</t>
  </si>
  <si>
    <t>【明光FC】【伊万里】【林】【座席表管理・生徒・１日】⇒講師担当表に名前が二重に表示される</t>
  </si>
  <si>
    <t>【明光直営】【平野】【小路】【座席表管理・生徒・１日】⇒1/16の座席生徒1日が開けない。不正データがあると思われる。</t>
  </si>
  <si>
    <t>ANESTA_DATAMAINTE-58</t>
  </si>
  <si>
    <t>備忘課題</t>
  </si>
  <si>
    <t>ANESTA_DATAMAINTE-81</t>
  </si>
  <si>
    <t>原因調査</t>
  </si>
  <si>
    <t>原因調査残</t>
  </si>
  <si>
    <t>ANESTA_DATAMAINTE-112</t>
  </si>
  <si>
    <t>【九州歯科大前】【別部】【座席表管理・生徒・１日】⇒「他のユーザーが同日の座席情報を取得中です」の表示⇒ロック解除しても解消されず、「サーバとの通信に失敗しました [9999]」のエラー</t>
  </si>
  <si>
    <t>ANESTA_DATAMAINTE-109</t>
  </si>
  <si>
    <t>【明光直営】【その他】【座席表管理】Systemwalker Batch ERROR FROM AP2 Server</t>
  </si>
  <si>
    <t>東京FC</t>
  </si>
  <si>
    <t>KT033：明光義塾(サン・ヤマモト)</t>
  </si>
  <si>
    <t>ANESTA_DATAMAINTE-141</t>
  </si>
  <si>
    <t>【明光FC】【長与】【藤井】【座席表管理・生徒・１日】⇒未消化の作成をしたがPleaseWaitが長くて終わらない</t>
  </si>
  <si>
    <t>ソートキー</t>
  </si>
  <si>
    <t>【明光直営】【講師マイレージポイント登録】【ツール化】⇒生徒から講師へのポイント移行漏れチェックツール作成</t>
  </si>
  <si>
    <t>ANESTA_DATAMAINTE-210</t>
  </si>
  <si>
    <t>【明光義塾（サン・ヤマモト）】【松土】【座席表管理】　⇒　不正データで画面が表示されない（サーバとの通信に失敗しました[9999]）、座席週に新中1と新高1が表示されない。</t>
  </si>
  <si>
    <t>ANESTA_DATAMAINTE-214</t>
  </si>
  <si>
    <t>CG016：明光義塾(Mnetグループ)</t>
  </si>
  <si>
    <t>【明光義塾(Mnetグループ)】【システム管理】【生徒原簿一括登録】⇒原簿照会画面で生徒が二重に表示される</t>
  </si>
  <si>
    <t>ANESTA_DATAMAINTE-196</t>
  </si>
  <si>
    <t>ANESTA_DATAMAINTE-286</t>
  </si>
  <si>
    <t>【明光FC】【熊本出水】【生徒管理】⇒スケジュール登録ができない</t>
  </si>
  <si>
    <t>改善課題</t>
  </si>
  <si>
    <t>【明光FC】【早岐】【藤井】【講師割当マスタ管理・生徒】⇒割当マスタで割当したが割当ができていない日付があるとのこと。</t>
  </si>
  <si>
    <t>ANESTA_DATAMAINTE-460</t>
  </si>
  <si>
    <t>KK007：友学園</t>
  </si>
  <si>
    <t>【友学園】【脇山】【売上管理】【年次更新】⇒学費年次更新でスライド出来ない品目を減らすため、設定を再検討したい</t>
  </si>
  <si>
    <t>ANESTA_DATAMAINTE-499</t>
  </si>
  <si>
    <t>KT053：ウイングネット</t>
  </si>
  <si>
    <t>【ウイングネット】【談議】【生徒データ連携】⇒WNS（ウイングネットの基幹システム）から退会生など、データ変更分データが送付されていない？</t>
  </si>
  <si>
    <t>ANESTA_DATAMAINTE-549</t>
  </si>
  <si>
    <t>【ウイングネット】【談義】【ウイングネットとの連携】⇒新規登録の生徒がanestaの原簿に登録できていない、とのこと。</t>
  </si>
  <si>
    <t>保留中</t>
  </si>
  <si>
    <t>ANESTA_DATAMAINTE-582</t>
  </si>
  <si>
    <t>KT041：M.E.I.英語学院</t>
  </si>
  <si>
    <t>【茂原英語学院】【大塚】【売上管理】⇒現金入金ができない</t>
  </si>
  <si>
    <t>【e-sia】【その他】⇒J-stream（Vテキ映像授業などの映像用サーバ）の容量が枯渇してきている。</t>
  </si>
  <si>
    <t>【明光FC】【川村】【その他】【Vテキ映像授業】⇒視聴できない動画がある</t>
  </si>
  <si>
    <t>回答待ち</t>
  </si>
  <si>
    <t>情報待ち</t>
  </si>
  <si>
    <t>対応中</t>
  </si>
  <si>
    <t>ANESTA_DATAMAINTE-614</t>
  </si>
  <si>
    <t>【e-sia】【河内】⇒「講習日程パターンの変更手順」手順の修正</t>
  </si>
  <si>
    <t>データメンテチーム</t>
  </si>
  <si>
    <t>ANESTA_DATAMAINTE-600</t>
  </si>
  <si>
    <t>ANESTA_DATAMAINTE-579</t>
  </si>
  <si>
    <t>ANESTA_DATAMAINTE-615</t>
  </si>
  <si>
    <t>【アネム】【小田】【Vゼミ関連映像】⇒J-streamにアップロードしている動画の整理について</t>
  </si>
  <si>
    <t>ANESTA_DATAMAINTE-422</t>
  </si>
  <si>
    <t>講習日程パターン変更手順に、修正すべきデータが不足している</t>
  </si>
  <si>
    <t>請求確定後に作業予定。15日移行をターゲットに作業手順を準備する</t>
  </si>
  <si>
    <t>１．バックログからファイルを出力する</t>
    <rPh sb="14" eb="16">
      <t>シュツリョク</t>
    </rPh>
    <phoneticPr fontId="1"/>
  </si>
  <si>
    <t>未処理, 処理中, 処理済み</t>
    <rPh sb="0" eb="3">
      <t>ミショリ</t>
    </rPh>
    <rPh sb="5" eb="8">
      <t>ショリチュウ</t>
    </rPh>
    <rPh sb="10" eb="13">
      <t>ショリズ</t>
    </rPh>
    <phoneticPr fontId="1"/>
  </si>
  <si>
    <t>種別</t>
    <rPh sb="0" eb="2">
      <t>シュベツ</t>
    </rPh>
    <phoneticPr fontId="1"/>
  </si>
  <si>
    <t>課題, 特別対応, 年次更新, 原因調査, 改善課題</t>
    <rPh sb="0" eb="2">
      <t>カダイ</t>
    </rPh>
    <rPh sb="4" eb="8">
      <t>トクベツタイオウ</t>
    </rPh>
    <rPh sb="10" eb="14">
      <t>ネンジコウシン</t>
    </rPh>
    <rPh sb="16" eb="20">
      <t>ゲンインチョウサ</t>
    </rPh>
    <rPh sb="22" eb="26">
      <t>カイゼンカダイ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</si>
</sst>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indexed="56"/>
      <name val="ＭＳ Ｐゴシック"/>
      <family val="3"/>
      <charset val="128"/>
      <scheme val="minor"/>
    </font>
    <font>
      <b/>
      <sz val="17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3" fillId="0" borderId="0" xfId="0" applyFont="1">
      <alignment vertical="center"/>
    </xf>
    <xf numFmtId="14" fontId="4" fillId="0" borderId="0" xfId="0" applyNumberFormat="1" applyFont="1" applyAlignment="1">
      <alignment horizontal="right"/>
    </xf>
    <xf numFmtId="0" fontId="5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95250</xdr:rowOff>
        </xdr:from>
        <xdr:to>
          <xdr:col>4</xdr:col>
          <xdr:colOff>333375</xdr:colOff>
          <xdr:row>2</xdr:row>
          <xdr:rowOff>114300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3</xdr:col>
      <xdr:colOff>104775</xdr:colOff>
      <xdr:row>7</xdr:row>
      <xdr:rowOff>133350</xdr:rowOff>
    </xdr:to>
    <xdr:sp macro="" textlink="">
      <xdr:nvSpPr>
        <xdr:cNvPr id="2051" name="AutoShape 3" descr="save image"/>
        <xdr:cNvSpPr>
          <a:spLocks noChangeAspect="1" noChangeArrowheads="1"/>
        </xdr:cNvSpPr>
      </xdr:nvSpPr>
      <xdr:spPr bwMode="auto">
        <a:xfrm>
          <a:off x="2457450" y="188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0</xdr:row>
          <xdr:rowOff>104775</xdr:rowOff>
        </xdr:from>
        <xdr:to>
          <xdr:col>5</xdr:col>
          <xdr:colOff>1466850</xdr:colOff>
          <xdr:row>2</xdr:row>
          <xdr:rowOff>123825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14</xdr:colOff>
      <xdr:row>13</xdr:row>
      <xdr:rowOff>9</xdr:rowOff>
    </xdr:from>
    <xdr:to>
      <xdr:col>8</xdr:col>
      <xdr:colOff>709627</xdr:colOff>
      <xdr:row>28</xdr:row>
      <xdr:rowOff>85734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89" y="2228859"/>
          <a:ext cx="5834063" cy="2657475"/>
        </a:xfrm>
        <a:prstGeom prst="rect">
          <a:avLst/>
        </a:prstGeom>
      </xdr:spPr>
    </xdr:pic>
    <xdr:clientData/>
  </xdr:twoCellAnchor>
  <xdr:twoCellAnchor editAs="oneCell">
    <xdr:from>
      <xdr:col>3</xdr:col>
      <xdr:colOff>18</xdr:colOff>
      <xdr:row>31</xdr:row>
      <xdr:rowOff>38109</xdr:rowOff>
    </xdr:from>
    <xdr:to>
      <xdr:col>8</xdr:col>
      <xdr:colOff>723918</xdr:colOff>
      <xdr:row>46</xdr:row>
      <xdr:rowOff>123834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93" y="5353059"/>
          <a:ext cx="5848350" cy="2657475"/>
        </a:xfrm>
        <a:prstGeom prst="rect">
          <a:avLst/>
        </a:prstGeom>
      </xdr:spPr>
    </xdr:pic>
    <xdr:clientData/>
  </xdr:twoCellAnchor>
  <xdr:twoCellAnchor>
    <xdr:from>
      <xdr:col>7</xdr:col>
      <xdr:colOff>257175</xdr:colOff>
      <xdr:row>39</xdr:row>
      <xdr:rowOff>0</xdr:rowOff>
    </xdr:from>
    <xdr:to>
      <xdr:col>8</xdr:col>
      <xdr:colOff>352425</xdr:colOff>
      <xdr:row>40</xdr:row>
      <xdr:rowOff>19050</xdr:rowOff>
    </xdr:to>
    <xdr:sp macro="" textlink="">
      <xdr:nvSpPr>
        <xdr:cNvPr id="7" name="正方形/長方形 6"/>
        <xdr:cNvSpPr/>
      </xdr:nvSpPr>
      <xdr:spPr>
        <a:xfrm>
          <a:off x="5438775" y="6686550"/>
          <a:ext cx="638175" cy="19050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K22"/>
  <sheetViews>
    <sheetView zoomScale="85" zoomScaleNormal="85" workbookViewId="0"/>
  </sheetViews>
  <sheetFormatPr defaultRowHeight="13.5" x14ac:dyDescent="0.15"/>
  <cols>
    <col min="1" max="1" width="4.625" customWidth="1"/>
    <col min="2" max="2" width="25.625" customWidth="1"/>
    <col min="3" max="3" width="9.125" customWidth="1"/>
    <col min="4" max="4" width="12.625" customWidth="1"/>
    <col min="5" max="5" width="23.625" customWidth="1"/>
    <col min="6" max="6" width="55.625" customWidth="1"/>
    <col min="7" max="7" width="11.625" customWidth="1"/>
    <col min="9" max="9" width="9.5" customWidth="1"/>
    <col min="10" max="10" width="40.625" customWidth="1"/>
    <col min="11" max="11" width="0" hidden="1" customWidth="1"/>
  </cols>
  <sheetData>
    <row r="1" spans="1:11" ht="20.25" x14ac:dyDescent="0.15">
      <c r="A1" s="6" t="s">
        <v>24</v>
      </c>
      <c r="J1" s="7">
        <v>42552</v>
      </c>
    </row>
    <row r="3" spans="1:11" ht="15" customHeight="1" x14ac:dyDescent="0.15">
      <c r="A3" s="1" t="s">
        <v>14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7</v>
      </c>
      <c r="H3" s="1" t="s">
        <v>5</v>
      </c>
      <c r="I3" s="1" t="s">
        <v>6</v>
      </c>
      <c r="J3" s="1" t="s">
        <v>13</v>
      </c>
      <c r="K3" s="1" t="s">
        <v>50</v>
      </c>
    </row>
    <row r="4" spans="1:11" ht="50.1" customHeight="1" x14ac:dyDescent="0.15">
      <c r="A4" s="2">
        <f>ROW() - 3</f>
        <v>1</v>
      </c>
      <c r="B4" s="2" t="s">
        <v>83</v>
      </c>
      <c r="C4" s="3" t="s">
        <v>27</v>
      </c>
      <c r="D4" s="11" t="s">
        <v>28</v>
      </c>
      <c r="E4" s="5" t="s">
        <v>29</v>
      </c>
      <c r="F4" s="5" t="s">
        <v>74</v>
      </c>
      <c r="G4" s="4">
        <v>42543</v>
      </c>
      <c r="H4" s="3" t="s">
        <v>12</v>
      </c>
      <c r="I4" s="11" t="s">
        <v>30</v>
      </c>
      <c r="J4" s="10" t="s">
        <v>78</v>
      </c>
      <c r="K4" s="2">
        <v>1</v>
      </c>
    </row>
    <row r="5" spans="1:11" ht="50.1" customHeight="1" x14ac:dyDescent="0.15">
      <c r="A5" s="2">
        <f>ROW() - 3</f>
        <v>2</v>
      </c>
      <c r="B5" s="2" t="s">
        <v>82</v>
      </c>
      <c r="C5" s="3" t="s">
        <v>27</v>
      </c>
      <c r="D5" s="11" t="s">
        <v>31</v>
      </c>
      <c r="E5" s="5" t="s">
        <v>32</v>
      </c>
      <c r="F5" s="5" t="s">
        <v>75</v>
      </c>
      <c r="G5" s="4">
        <v>42552</v>
      </c>
      <c r="H5" s="3" t="s">
        <v>10</v>
      </c>
      <c r="I5" s="11" t="s">
        <v>30</v>
      </c>
      <c r="J5" s="10" t="s">
        <v>78</v>
      </c>
      <c r="K5" s="2">
        <v>1</v>
      </c>
    </row>
    <row r="6" spans="1:11" ht="50.1" customHeight="1" x14ac:dyDescent="0.15">
      <c r="A6" s="2">
        <f>ROW() - 3</f>
        <v>3</v>
      </c>
      <c r="B6" s="2" t="s">
        <v>84</v>
      </c>
      <c r="C6" s="3" t="s">
        <v>27</v>
      </c>
      <c r="D6" s="11" t="s">
        <v>28</v>
      </c>
      <c r="E6" s="5" t="s">
        <v>29</v>
      </c>
      <c r="F6" s="5" t="s">
        <v>85</v>
      </c>
      <c r="G6" s="4">
        <v>42557</v>
      </c>
      <c r="H6" s="3" t="s">
        <v>10</v>
      </c>
      <c r="I6" s="11" t="s">
        <v>30</v>
      </c>
      <c r="J6" s="10"/>
      <c r="K6" s="2">
        <v>1</v>
      </c>
    </row>
    <row r="7" spans="1:11" ht="50.1" customHeight="1" x14ac:dyDescent="0.15">
      <c r="A7" s="2">
        <f>ROW() - 3</f>
        <v>4</v>
      </c>
      <c r="B7" s="2" t="s">
        <v>79</v>
      </c>
      <c r="C7" s="3" t="s">
        <v>60</v>
      </c>
      <c r="D7" s="11" t="s">
        <v>11</v>
      </c>
      <c r="E7" s="5"/>
      <c r="F7" s="5" t="s">
        <v>80</v>
      </c>
      <c r="G7" s="4">
        <v>42559</v>
      </c>
      <c r="H7" s="3" t="s">
        <v>10</v>
      </c>
      <c r="I7" s="11" t="s">
        <v>81</v>
      </c>
      <c r="J7" s="10" t="s">
        <v>87</v>
      </c>
      <c r="K7" s="2">
        <v>1</v>
      </c>
    </row>
    <row r="8" spans="1:11" ht="50.1" customHeight="1" x14ac:dyDescent="0.15">
      <c r="A8" s="2">
        <f>ROW() - 3</f>
        <v>5</v>
      </c>
      <c r="B8" s="2" t="s">
        <v>62</v>
      </c>
      <c r="C8" s="3" t="s">
        <v>27</v>
      </c>
      <c r="D8" s="11" t="s">
        <v>8</v>
      </c>
      <c r="E8" s="5" t="s">
        <v>63</v>
      </c>
      <c r="F8" s="5" t="s">
        <v>64</v>
      </c>
      <c r="G8" s="4">
        <v>42566</v>
      </c>
      <c r="H8" s="3" t="s">
        <v>12</v>
      </c>
      <c r="I8" s="11" t="s">
        <v>9</v>
      </c>
      <c r="J8" s="10" t="s">
        <v>88</v>
      </c>
      <c r="K8" s="2">
        <v>1</v>
      </c>
    </row>
    <row r="9" spans="1:11" ht="50.1" customHeight="1" x14ac:dyDescent="0.15">
      <c r="A9" s="2">
        <f>ROW() - 3</f>
        <v>6</v>
      </c>
      <c r="B9" s="2" t="s">
        <v>68</v>
      </c>
      <c r="C9" s="3" t="s">
        <v>27</v>
      </c>
      <c r="D9" s="11" t="s">
        <v>8</v>
      </c>
      <c r="E9" s="5" t="s">
        <v>66</v>
      </c>
      <c r="F9" s="5" t="s">
        <v>69</v>
      </c>
      <c r="G9" s="4"/>
      <c r="H9" s="3" t="s">
        <v>10</v>
      </c>
      <c r="I9" s="11" t="s">
        <v>30</v>
      </c>
      <c r="J9" s="10" t="s">
        <v>76</v>
      </c>
      <c r="K9" s="2">
        <v>1</v>
      </c>
    </row>
    <row r="10" spans="1:11" ht="50.1" customHeight="1" x14ac:dyDescent="0.15">
      <c r="A10" s="2">
        <f>ROW() - 3</f>
        <v>7</v>
      </c>
      <c r="B10" s="2" t="s">
        <v>65</v>
      </c>
      <c r="C10" s="3" t="s">
        <v>27</v>
      </c>
      <c r="D10" s="11" t="s">
        <v>8</v>
      </c>
      <c r="E10" s="5" t="s">
        <v>66</v>
      </c>
      <c r="F10" s="5" t="s">
        <v>67</v>
      </c>
      <c r="G10" s="4"/>
      <c r="H10" s="3" t="s">
        <v>12</v>
      </c>
      <c r="I10" s="11" t="s">
        <v>30</v>
      </c>
      <c r="J10" s="10" t="s">
        <v>76</v>
      </c>
      <c r="K10" s="2">
        <v>1</v>
      </c>
    </row>
    <row r="11" spans="1:11" ht="50.1" customHeight="1" x14ac:dyDescent="0.15">
      <c r="A11" s="2">
        <f>ROW() - 3</f>
        <v>8</v>
      </c>
      <c r="B11" s="2" t="s">
        <v>71</v>
      </c>
      <c r="C11" s="3" t="s">
        <v>27</v>
      </c>
      <c r="D11" s="11" t="s">
        <v>11</v>
      </c>
      <c r="E11" s="5" t="s">
        <v>72</v>
      </c>
      <c r="F11" s="5" t="s">
        <v>73</v>
      </c>
      <c r="G11" s="4"/>
      <c r="H11" s="3" t="s">
        <v>12</v>
      </c>
      <c r="I11" s="11" t="s">
        <v>9</v>
      </c>
      <c r="J11" s="10" t="s">
        <v>77</v>
      </c>
      <c r="K11" s="2">
        <v>1</v>
      </c>
    </row>
    <row r="12" spans="1:11" ht="50.1" customHeight="1" x14ac:dyDescent="0.15">
      <c r="A12" s="2">
        <f>ROW() - 3</f>
        <v>9</v>
      </c>
      <c r="B12" s="2" t="s">
        <v>33</v>
      </c>
      <c r="C12" s="3" t="s">
        <v>60</v>
      </c>
      <c r="D12" s="11" t="s">
        <v>11</v>
      </c>
      <c r="E12" s="5"/>
      <c r="F12" s="5" t="s">
        <v>34</v>
      </c>
      <c r="G12" s="4"/>
      <c r="H12" s="3" t="s">
        <v>10</v>
      </c>
      <c r="I12" s="11"/>
      <c r="J12" s="10" t="s">
        <v>38</v>
      </c>
      <c r="K12" s="2">
        <v>1</v>
      </c>
    </row>
    <row r="13" spans="1:11" ht="50.1" customHeight="1" x14ac:dyDescent="0.15">
      <c r="A13" s="2">
        <f>ROW() - 3</f>
        <v>10</v>
      </c>
      <c r="B13" s="2" t="s">
        <v>57</v>
      </c>
      <c r="C13" s="3" t="s">
        <v>60</v>
      </c>
      <c r="D13" s="11" t="s">
        <v>28</v>
      </c>
      <c r="E13" s="5" t="s">
        <v>29</v>
      </c>
      <c r="F13" s="5" t="s">
        <v>51</v>
      </c>
      <c r="G13" s="4"/>
      <c r="H13" s="3" t="s">
        <v>10</v>
      </c>
      <c r="I13" s="11" t="s">
        <v>30</v>
      </c>
      <c r="J13" s="10" t="s">
        <v>70</v>
      </c>
      <c r="K13" s="2">
        <v>1</v>
      </c>
    </row>
    <row r="14" spans="1:11" ht="50.1" customHeight="1" x14ac:dyDescent="0.15">
      <c r="A14" s="2">
        <f>ROW() - 3</f>
        <v>11</v>
      </c>
      <c r="B14" s="2" t="s">
        <v>86</v>
      </c>
      <c r="C14" s="3" t="s">
        <v>40</v>
      </c>
      <c r="D14" s="11" t="s">
        <v>31</v>
      </c>
      <c r="E14" s="5" t="s">
        <v>32</v>
      </c>
      <c r="F14" s="5" t="s">
        <v>61</v>
      </c>
      <c r="G14" s="4"/>
      <c r="H14" s="3" t="s">
        <v>12</v>
      </c>
      <c r="I14" s="11" t="s">
        <v>30</v>
      </c>
      <c r="J14" s="10" t="s">
        <v>41</v>
      </c>
      <c r="K14" s="2">
        <v>2</v>
      </c>
    </row>
    <row r="15" spans="1:11" ht="50.1" customHeight="1" x14ac:dyDescent="0.15">
      <c r="A15" s="2">
        <f>ROW() - 3</f>
        <v>12</v>
      </c>
      <c r="B15" s="2" t="s">
        <v>39</v>
      </c>
      <c r="C15" s="3" t="s">
        <v>40</v>
      </c>
      <c r="D15" s="11" t="s">
        <v>28</v>
      </c>
      <c r="E15" s="5" t="s">
        <v>29</v>
      </c>
      <c r="F15" s="5" t="s">
        <v>36</v>
      </c>
      <c r="G15" s="4"/>
      <c r="H15" s="3" t="s">
        <v>12</v>
      </c>
      <c r="I15" s="11" t="s">
        <v>30</v>
      </c>
      <c r="J15" s="10" t="s">
        <v>41</v>
      </c>
      <c r="K15" s="2">
        <v>2</v>
      </c>
    </row>
    <row r="16" spans="1:11" ht="50.1" customHeight="1" x14ac:dyDescent="0.15">
      <c r="A16" s="2">
        <f>ROW() - 3</f>
        <v>13</v>
      </c>
      <c r="B16" s="2" t="s">
        <v>44</v>
      </c>
      <c r="C16" s="3" t="s">
        <v>40</v>
      </c>
      <c r="D16" s="11" t="s">
        <v>28</v>
      </c>
      <c r="E16" s="5" t="s">
        <v>29</v>
      </c>
      <c r="F16" s="5" t="s">
        <v>45</v>
      </c>
      <c r="G16" s="4"/>
      <c r="H16" s="3" t="s">
        <v>12</v>
      </c>
      <c r="I16" s="11" t="s">
        <v>9</v>
      </c>
      <c r="J16" s="10" t="s">
        <v>41</v>
      </c>
      <c r="K16" s="2">
        <v>2</v>
      </c>
    </row>
    <row r="17" spans="1:11" ht="50.1" customHeight="1" x14ac:dyDescent="0.15">
      <c r="A17" s="2">
        <f>ROW() - 3</f>
        <v>14</v>
      </c>
      <c r="B17" s="2" t="s">
        <v>37</v>
      </c>
      <c r="C17" s="3" t="s">
        <v>40</v>
      </c>
      <c r="D17" s="11" t="s">
        <v>31</v>
      </c>
      <c r="E17" s="5" t="s">
        <v>32</v>
      </c>
      <c r="F17" s="5" t="s">
        <v>35</v>
      </c>
      <c r="G17" s="4"/>
      <c r="H17" s="3" t="s">
        <v>12</v>
      </c>
      <c r="I17" s="11" t="s">
        <v>30</v>
      </c>
      <c r="J17" s="10" t="s">
        <v>41</v>
      </c>
      <c r="K17" s="2">
        <v>2</v>
      </c>
    </row>
    <row r="18" spans="1:11" ht="50.1" customHeight="1" x14ac:dyDescent="0.15">
      <c r="A18" s="2">
        <f>ROW() - 3</f>
        <v>15</v>
      </c>
      <c r="B18" s="2" t="s">
        <v>42</v>
      </c>
      <c r="C18" s="3" t="s">
        <v>40</v>
      </c>
      <c r="D18" s="11" t="s">
        <v>28</v>
      </c>
      <c r="E18" s="5" t="s">
        <v>29</v>
      </c>
      <c r="F18" s="5" t="s">
        <v>43</v>
      </c>
      <c r="G18" s="4"/>
      <c r="H18" s="3" t="s">
        <v>12</v>
      </c>
      <c r="I18" s="11" t="s">
        <v>30</v>
      </c>
      <c r="J18" s="10" t="s">
        <v>41</v>
      </c>
      <c r="K18" s="2">
        <v>2</v>
      </c>
    </row>
    <row r="19" spans="1:11" ht="50.1" customHeight="1" x14ac:dyDescent="0.15">
      <c r="A19" s="2">
        <f>ROW() - 3</f>
        <v>16</v>
      </c>
      <c r="B19" s="2" t="s">
        <v>48</v>
      </c>
      <c r="C19" s="3" t="s">
        <v>40</v>
      </c>
      <c r="D19" s="11" t="s">
        <v>31</v>
      </c>
      <c r="E19" s="5" t="s">
        <v>32</v>
      </c>
      <c r="F19" s="5" t="s">
        <v>49</v>
      </c>
      <c r="G19" s="4"/>
      <c r="H19" s="3" t="s">
        <v>12</v>
      </c>
      <c r="I19" s="11" t="s">
        <v>30</v>
      </c>
      <c r="J19" s="10" t="s">
        <v>41</v>
      </c>
      <c r="K19" s="2">
        <v>2</v>
      </c>
    </row>
    <row r="20" spans="1:11" ht="50.1" customHeight="1" x14ac:dyDescent="0.15">
      <c r="A20" s="2">
        <f>ROW() - 3</f>
        <v>17</v>
      </c>
      <c r="B20" s="2" t="s">
        <v>52</v>
      </c>
      <c r="C20" s="3" t="s">
        <v>40</v>
      </c>
      <c r="D20" s="11" t="s">
        <v>46</v>
      </c>
      <c r="E20" s="5" t="s">
        <v>47</v>
      </c>
      <c r="F20" s="5" t="s">
        <v>53</v>
      </c>
      <c r="G20" s="4"/>
      <c r="H20" s="3" t="s">
        <v>12</v>
      </c>
      <c r="I20" s="11" t="s">
        <v>30</v>
      </c>
      <c r="J20" s="10" t="s">
        <v>41</v>
      </c>
      <c r="K20" s="2">
        <v>2</v>
      </c>
    </row>
    <row r="21" spans="1:11" ht="50.1" customHeight="1" x14ac:dyDescent="0.15">
      <c r="A21" s="2">
        <f>ROW() - 3</f>
        <v>18</v>
      </c>
      <c r="B21" s="2" t="s">
        <v>54</v>
      </c>
      <c r="C21" s="3" t="s">
        <v>40</v>
      </c>
      <c r="D21" s="11" t="s">
        <v>8</v>
      </c>
      <c r="E21" s="5" t="s">
        <v>55</v>
      </c>
      <c r="F21" s="5" t="s">
        <v>56</v>
      </c>
      <c r="G21" s="4"/>
      <c r="H21" s="3" t="s">
        <v>12</v>
      </c>
      <c r="I21" s="11" t="s">
        <v>9</v>
      </c>
      <c r="J21" s="10" t="s">
        <v>41</v>
      </c>
      <c r="K21" s="2">
        <v>2</v>
      </c>
    </row>
    <row r="22" spans="1:11" ht="50.1" customHeight="1" x14ac:dyDescent="0.15">
      <c r="A22" s="2">
        <f>ROW() - 3</f>
        <v>19</v>
      </c>
      <c r="B22" s="2" t="s">
        <v>58</v>
      </c>
      <c r="C22" s="3" t="s">
        <v>40</v>
      </c>
      <c r="D22" s="11" t="s">
        <v>31</v>
      </c>
      <c r="E22" s="5" t="s">
        <v>32</v>
      </c>
      <c r="F22" s="5" t="s">
        <v>59</v>
      </c>
      <c r="G22" s="4"/>
      <c r="H22" s="3" t="s">
        <v>12</v>
      </c>
      <c r="I22" s="11" t="s">
        <v>9</v>
      </c>
      <c r="J22" s="10" t="s">
        <v>41</v>
      </c>
      <c r="K22" s="2">
        <v>2</v>
      </c>
    </row>
  </sheetData>
  <autoFilter ref="A3:K3">
    <sortState ref="A4:K22">
      <sortCondition ref="K3"/>
      <sortCondition ref="G3"/>
    </sortState>
  </autoFilter>
  <phoneticPr fontId="1"/>
  <pageMargins left="0.7" right="0.7" top="0.75" bottom="0.75" header="0.3" footer="0.3"/>
  <pageSetup paperSize="12" scale="83" fitToHeight="0" orientation="landscape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F51"/>
  <sheetViews>
    <sheetView tabSelected="1" zoomScaleNormal="100" workbookViewId="0">
      <pane ySplit="4" topLeftCell="A5" activePane="bottomLeft" state="frozen"/>
      <selection pane="bottomLeft" activeCell="A5" sqref="A5"/>
    </sheetView>
  </sheetViews>
  <sheetFormatPr defaultRowHeight="13.5" x14ac:dyDescent="0.15"/>
  <cols>
    <col min="1" max="3" width="2.625" customWidth="1"/>
    <col min="4" max="4" width="5.25" bestFit="1" customWidth="1"/>
    <col min="5" max="5" width="7.125" bestFit="1" customWidth="1"/>
    <col min="6" max="6" width="42.5" bestFit="1" customWidth="1"/>
    <col min="7" max="7" width="5.25" bestFit="1" customWidth="1"/>
    <col min="8" max="8" width="7.125" bestFit="1" customWidth="1"/>
    <col min="9" max="9" width="22.75" bestFit="1" customWidth="1"/>
  </cols>
  <sheetData>
    <row r="5" spans="1:6" x14ac:dyDescent="0.15">
      <c r="A5" s="8" t="s">
        <v>15</v>
      </c>
    </row>
    <row r="7" spans="1:6" x14ac:dyDescent="0.15">
      <c r="A7" t="s">
        <v>89</v>
      </c>
    </row>
    <row r="8" spans="1:6" x14ac:dyDescent="0.15">
      <c r="B8" t="s">
        <v>22</v>
      </c>
    </row>
    <row r="9" spans="1:6" x14ac:dyDescent="0.15">
      <c r="C9" t="s">
        <v>16</v>
      </c>
    </row>
    <row r="10" spans="1:6" x14ac:dyDescent="0.15">
      <c r="D10" s="9" t="s">
        <v>20</v>
      </c>
      <c r="E10" s="9" t="s">
        <v>18</v>
      </c>
      <c r="F10" s="9" t="s">
        <v>19</v>
      </c>
    </row>
    <row r="11" spans="1:6" x14ac:dyDescent="0.15">
      <c r="D11" s="2" t="s">
        <v>21</v>
      </c>
      <c r="E11" s="2" t="s">
        <v>17</v>
      </c>
      <c r="F11" s="2" t="s">
        <v>90</v>
      </c>
    </row>
    <row r="12" spans="1:6" x14ac:dyDescent="0.15">
      <c r="D12" s="2" t="s">
        <v>21</v>
      </c>
      <c r="E12" s="2" t="s">
        <v>91</v>
      </c>
      <c r="F12" s="2" t="s">
        <v>92</v>
      </c>
    </row>
    <row r="31" spans="2:2" x14ac:dyDescent="0.15">
      <c r="B31" t="s">
        <v>23</v>
      </c>
    </row>
    <row r="50" spans="2:3" x14ac:dyDescent="0.15">
      <c r="B50" t="s">
        <v>25</v>
      </c>
    </row>
    <row r="51" spans="2:3" x14ac:dyDescent="0.15">
      <c r="C51" t="s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76200</xdr:colOff>
                <xdr:row>0</xdr:row>
                <xdr:rowOff>95250</xdr:rowOff>
              </from>
              <to>
                <xdr:col>4</xdr:col>
                <xdr:colOff>333375</xdr:colOff>
                <xdr:row>2</xdr:row>
                <xdr:rowOff>114300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5</xdr:col>
                <xdr:colOff>209550</xdr:colOff>
                <xdr:row>0</xdr:row>
                <xdr:rowOff>104775</xdr:rowOff>
              </from>
              <to>
                <xdr:col>5</xdr:col>
                <xdr:colOff>1466850</xdr:colOff>
                <xdr:row>2</xdr:row>
                <xdr:rowOff>123825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一覧</vt:lpstr>
      <vt:lpstr>操作</vt:lpstr>
      <vt:lpstr>一覧!Print_Titles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izumi</dc:creator>
  <cp:lastModifiedBy>izumi</cp:lastModifiedBy>
  <cp:lastPrinted>2016-07-01T06:27:30Z</cp:lastPrinted>
  <dcterms:created xsi:type="dcterms:W3CDTF">2015-12-28T05:42:37Z</dcterms:created>
  <dcterms:modified xsi:type="dcterms:W3CDTF">2016-07-01T08:51:41Z</dcterms:modified>
</cp:coreProperties>
</file>